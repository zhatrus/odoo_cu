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persons/person.xml" ContentType="application/vnd.ms-excel.person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0490" windowHeight="7620"/>
  </bookViews>
  <sheets>
    <sheet name="May 2025  " sheetId="2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26" l="1"/>
  <c r="K18" i="26"/>
  <c r="N17" i="26"/>
  <c r="K17" i="26"/>
  <c r="N16" i="26"/>
  <c r="K16" i="26"/>
  <c r="N15" i="26"/>
  <c r="N19" i="26" s="1"/>
  <c r="C22" i="26" s="1"/>
  <c r="K15" i="26"/>
  <c r="K19" i="26" s="1"/>
  <c r="K22" i="26" s="1"/>
</calcChain>
</file>

<file path=xl/sharedStrings.xml><?xml version="1.0" encoding="utf-8"?>
<sst xmlns="http://schemas.openxmlformats.org/spreadsheetml/2006/main" count="64" uniqueCount="55">
  <si>
    <t>Дата</t>
  </si>
  <si>
    <t>паливна картка</t>
  </si>
  <si>
    <t>Пижов С.</t>
  </si>
  <si>
    <r>
      <rPr>
        <b/>
        <sz val="13"/>
        <color rgb="FF000000"/>
        <rFont val="Calibri"/>
      </rPr>
      <t>МАРШРУТНИЙ ЛИСТ № _</t>
    </r>
    <r>
      <rPr>
        <b/>
        <u val="double"/>
        <sz val="13"/>
        <color rgb="FF000000"/>
        <rFont val="Calibri"/>
      </rPr>
      <t>5</t>
    </r>
    <r>
      <rPr>
        <b/>
        <sz val="13"/>
        <color rgb="FF000000"/>
        <rFont val="Calibri"/>
      </rPr>
      <t>_</t>
    </r>
  </si>
  <si>
    <t>Затверджено:</t>
  </si>
  <si>
    <t>________________________</t>
  </si>
  <si>
    <t>Ставничи Т.</t>
  </si>
  <si>
    <t>АВТОМОБІЛЬ/марка транспортного засобу</t>
  </si>
  <si>
    <t xml:space="preserve">Mitsubishi Outlander </t>
  </si>
  <si>
    <t>Державний  реєстраційний номер транпортного засобу</t>
  </si>
  <si>
    <t>КА 8024II</t>
  </si>
  <si>
    <t xml:space="preserve">Базова лінійна норма витрат палива л/100 км </t>
  </si>
  <si>
    <t>Паливна картка №</t>
  </si>
  <si>
    <t>№ 7825 3900 0061 9140</t>
  </si>
  <si>
    <t>Залишки палива на початку місяця</t>
  </si>
  <si>
    <t>Показники спідометра на початок місяця</t>
  </si>
  <si>
    <t>км.</t>
  </si>
  <si>
    <t> </t>
  </si>
  <si>
    <t>Заправлено (Літрів)</t>
  </si>
  <si>
    <t>л.</t>
  </si>
  <si>
    <t>Дата виїзду на маршрут</t>
  </si>
  <si>
    <t>Детальний опис маршруту (офіс - міністерство - офіс, з/або адресами)</t>
  </si>
  <si>
    <t>Мета поїздки, детально у якій справі (зустріч, тощо)</t>
  </si>
  <si>
    <t>Пробіг по місту, км.</t>
  </si>
  <si>
    <t>Пробіг за межами міста, км.</t>
  </si>
  <si>
    <t xml:space="preserve">Загальний пробіг, км. </t>
  </si>
  <si>
    <t>Коєфіцієнт підвищення,  по місту (п.3.1.4, 3.1.6.)</t>
  </si>
  <si>
    <t>Коєфіцієнт підвищення /пониження  поза межами міста (3.2.2.)</t>
  </si>
  <si>
    <t>Витрати палива в літрах</t>
  </si>
  <si>
    <t>Номер (назва) проєкту</t>
  </si>
  <si>
    <t>Вид заправки, при готівковій оплаті (карт., гот., гот/карт.)</t>
  </si>
  <si>
    <t>Призвище та ім'я користувача автомобілю</t>
  </si>
  <si>
    <t>Підпис Водія
DRIVER SIGNATURE</t>
  </si>
  <si>
    <t>Керівник проекту/безпосередній керівник</t>
  </si>
  <si>
    <t>Підпис Керівника проекту/безпосереднього керівника</t>
  </si>
  <si>
    <t xml:space="preserve"> Офіс Карітас України (вул.Богдана Хмельницького, 48А)- АЗК ОККО (Харківське шосе,1г, с.Щасливе)  - готель "Перший" (пр-т Свободи,43,  м.Кам'янське) </t>
  </si>
  <si>
    <t>відрядження до м.Кам'янське, заправка авто, ночівля у готелі, стоянка авто</t>
  </si>
  <si>
    <t xml:space="preserve"> готель "Перший" (пр-т Свободи,43,  м.Кам'янське) - АЗК ОККО (пр-т Аношкіна, 8-А, м.Кам'янське)- офіс "Карітас Кам'янське" (вул.Стуса,1а, м.Кам'янське)- Кам'янська міська рада (майдан П.Калнишевського,2)- офіс "Карітас Кам'янське" (вул.Стуса,1а, м.Кам'янське)- АЗК ОККО (вул.Кільцева,1, с.Проліски)- Офіс Карітас України (вул.Богдана Хмельницького, 48А)- пр-т Оболонський,4- стоянка авто (вул.Тичини,12а, м.Київ)  </t>
  </si>
  <si>
    <t xml:space="preserve">відрядження, підписання меморандуму з  Кам'янською міською радою,  заправка авто, повернення до міста Києва, стоянка авто </t>
  </si>
  <si>
    <t>стоянка авто (вул.Тичини,12а, м.Київ)  -АЗК ОККО (вул.Новокостянтинівська,4ж)- Офіс Карітас України (вул.Богдана Хмельницького, 48А)</t>
  </si>
  <si>
    <t>мийка авто, повернення авто до офісу після відрядження</t>
  </si>
  <si>
    <t>Офіс Карітас України (вул.Богдана Хмельницького, 48А) - інклюзивний центр "Карітас Житомир" (вул. Шевченко, 111, м.Житомир) - центр інклюзії "Карітас Житомир" (вул. Бердичівська, 62,  м.Житомир)-  Офіс Карітас України (вул. Богдана Хмельницького, 48А, м.Київ)</t>
  </si>
  <si>
    <t xml:space="preserve">відрядження до "Карітас Житомир",   зустріч та супровід німецької делегації, повернення до м.Києва </t>
  </si>
  <si>
    <t>Мальчін В.</t>
  </si>
  <si>
    <t xml:space="preserve">ВСЬОГО КМ ПРОБІГУ / ВИКОРИСТАНЕ ПАЛИВО ЗА МІСЯЦЬ </t>
  </si>
  <si>
    <t>Залишки палива на кінець місяця</t>
  </si>
  <si>
    <t>Кінцевий показник спідометра</t>
  </si>
  <si>
    <t xml:space="preserve">Опрацьовано </t>
  </si>
  <si>
    <t>бухгалтером</t>
  </si>
  <si>
    <t>Дата: _____________</t>
  </si>
  <si>
    <t>Здано в бухгалтерію:</t>
  </si>
  <si>
    <t>________________</t>
  </si>
  <si>
    <t>Керівник господарської діяльності у м.Києві/автотранспорт  Малютін М.М.</t>
  </si>
  <si>
    <t>дата</t>
  </si>
  <si>
    <t>посада, призвище та ініциали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</si>
</sst>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b/>
      <sz val="13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4"/>
      <color rgb="FF000000"/>
      <name val="Calibri"/>
      <family val="2"/>
      <charset val="204"/>
    </font>
    <font>
      <sz val="11"/>
      <color rgb="FFFFFFFF"/>
      <name val="Calibri"/>
      <family val="2"/>
      <charset val="204"/>
    </font>
    <font>
      <b/>
      <u/>
      <sz val="11"/>
      <color rgb="FF000000"/>
      <name val="Calibri"/>
      <family val="2"/>
      <charset val="204"/>
    </font>
    <font>
      <sz val="14"/>
      <color rgb="FF242424"/>
      <name val="Calibri"/>
      <charset val="1"/>
    </font>
    <font>
      <sz val="18"/>
      <color rgb="FF000000"/>
      <name val="Calibri"/>
      <family val="2"/>
      <charset val="204"/>
    </font>
    <font>
      <sz val="18"/>
      <color rgb="FF000000"/>
      <name val="Calibri"/>
      <family val="2"/>
      <charset val="1"/>
    </font>
    <font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  <font>
      <sz val="18"/>
      <color rgb="FF000000"/>
      <name val="Calibri"/>
    </font>
    <font>
      <b/>
      <sz val="13"/>
      <color rgb="FF000000"/>
      <name val="Calibri"/>
    </font>
    <font>
      <b/>
      <u val="double"/>
      <sz val="13"/>
      <color rgb="FF000000"/>
      <name val="Calibri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1" xfId="0" applyFont="1" applyBorder="1"/>
    <xf numFmtId="0" fontId="5" fillId="0" borderId="0" xfId="0" applyFont="1"/>
    <xf numFmtId="0" fontId="1" fillId="3" borderId="0" xfId="0" applyFont="1" applyFill="1"/>
    <xf numFmtId="0" fontId="6" fillId="0" borderId="0" xfId="0" applyFont="1"/>
    <xf numFmtId="0" fontId="6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wrapText="1"/>
    </xf>
    <xf numFmtId="0" fontId="8" fillId="0" borderId="9" xfId="0" applyFont="1" applyBorder="1" applyAlignment="1">
      <alignment horizontal="center"/>
    </xf>
    <xf numFmtId="14" fontId="9" fillId="0" borderId="10" xfId="0" applyNumberFormat="1" applyFont="1" applyBorder="1" applyAlignment="1">
      <alignment horizontal="center" vertical="center"/>
    </xf>
    <xf numFmtId="0" fontId="10" fillId="0" borderId="13" xfId="0" applyFont="1" applyBorder="1" applyAlignment="1" applyProtection="1">
      <alignment horizontal="center" vertical="center"/>
      <protection locked="0"/>
    </xf>
    <xf numFmtId="0" fontId="10" fillId="0" borderId="13" xfId="0" applyFont="1" applyBorder="1" applyAlignment="1">
      <alignment horizontal="center" vertical="center" wrapText="1"/>
    </xf>
    <xf numFmtId="2" fontId="10" fillId="0" borderId="13" xfId="0" applyNumberFormat="1" applyFont="1" applyBorder="1" applyAlignment="1" applyProtection="1">
      <alignment horizontal="center" vertical="center"/>
      <protection locked="0"/>
    </xf>
    <xf numFmtId="0" fontId="10" fillId="0" borderId="4" xfId="0" applyFont="1" applyBorder="1" applyAlignment="1" applyProtection="1">
      <alignment horizontal="center" vertical="center"/>
      <protection locked="0"/>
    </xf>
    <xf numFmtId="0" fontId="11" fillId="0" borderId="13" xfId="0" applyFont="1" applyBorder="1" applyAlignment="1" applyProtection="1">
      <alignment horizontal="center" vertical="center"/>
      <protection locked="0"/>
    </xf>
    <xf numFmtId="0" fontId="12" fillId="0" borderId="13" xfId="0" applyFont="1" applyBorder="1" applyAlignment="1">
      <alignment horizontal="center" vertical="center"/>
    </xf>
    <xf numFmtId="0" fontId="10" fillId="0" borderId="23" xfId="0" applyFont="1" applyBorder="1" applyAlignment="1" applyProtection="1">
      <alignment horizontal="center" vertical="center" wrapText="1"/>
      <protection locked="0"/>
    </xf>
    <xf numFmtId="0" fontId="8" fillId="2" borderId="0" xfId="0" applyFont="1" applyFill="1" applyAlignment="1">
      <alignment horizontal="center" wrapText="1"/>
    </xf>
    <xf numFmtId="0" fontId="13" fillId="0" borderId="0" xfId="0" applyFont="1"/>
    <xf numFmtId="0" fontId="15" fillId="0" borderId="4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3" fillId="0" borderId="0" xfId="0" applyFont="1" applyAlignment="1">
      <alignment wrapText="1"/>
    </xf>
    <xf numFmtId="0" fontId="8" fillId="0" borderId="2" xfId="0" applyFont="1" applyBorder="1" applyAlignment="1"/>
    <xf numFmtId="0" fontId="8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8" fillId="0" borderId="1" xfId="0" applyFont="1" applyBorder="1" applyAlignment="1">
      <alignment wrapText="1"/>
    </xf>
    <xf numFmtId="0" fontId="1" fillId="0" borderId="4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7" fillId="0" borderId="11" xfId="0" applyFont="1" applyBorder="1" applyAlignment="1">
      <alignment horizontal="center" vertical="top" wrapText="1"/>
    </xf>
    <xf numFmtId="0" fontId="1" fillId="0" borderId="14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4" fillId="0" borderId="0" xfId="0" applyFont="1" applyAlignment="1"/>
    <xf numFmtId="2" fontId="11" fillId="0" borderId="4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wrapText="1"/>
    </xf>
    <xf numFmtId="4" fontId="11" fillId="0" borderId="7" xfId="0" applyNumberFormat="1" applyFont="1" applyBorder="1" applyAlignment="1">
      <alignment horizontal="center"/>
    </xf>
    <xf numFmtId="4" fontId="11" fillId="0" borderId="8" xfId="0" applyNumberFormat="1" applyFont="1" applyBorder="1" applyAlignment="1">
      <alignment horizontal="center"/>
    </xf>
    <xf numFmtId="0" fontId="3" fillId="0" borderId="0" xfId="0" applyFont="1" applyAlignment="1">
      <alignment horizontal="right" wrapText="1"/>
    </xf>
    <xf numFmtId="0" fontId="1" fillId="0" borderId="1" xfId="0" applyFont="1" applyBorder="1" applyAlignment="1"/>
    <xf numFmtId="0" fontId="6" fillId="0" borderId="0" xfId="0" applyFont="1" applyAlignment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17" Type="http://schemas.microsoft.com/office/2017/06/relationships/rdRichValue" Target="richData/rdrichvalue.xml"/><Relationship Id="rId2" Type="http://schemas.openxmlformats.org/officeDocument/2006/relationships/theme" Target="theme/theme1.xml"/><Relationship Id="rId16" Type="http://schemas.microsoft.com/office/2022/10/relationships/richValueRel" Target="richData/richValueRel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19" Type="http://schemas.microsoft.com/office/2017/06/relationships/rdRichValueTypes" Target="richData/rdRichValueTyp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4</xdr:row>
      <xdr:rowOff>142875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EBC0BDA-84DE-4F48-9619-D6673CD19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466975" cy="9334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Гість" id="{0B4D6C7F-6178-4846-B202-DED7125BBE04}" userId="S::urn:spo:anon#500e9f26a33d46d595eeef6d1d46e684342dbb84461cf3558d3af1fc8244e20d::" providerId="AD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26"/>
  <sheetViews>
    <sheetView tabSelected="1" topLeftCell="A16" workbookViewId="0">
      <selection activeCell="B17" sqref="B17:G17"/>
    </sheetView>
  </sheetViews>
  <sheetFormatPr defaultRowHeight="15" x14ac:dyDescent="0.25"/>
  <cols>
    <col min="1" max="1" width="18.28515625" bestFit="1" customWidth="1"/>
    <col min="3" max="3" width="11.140625" customWidth="1"/>
    <col min="5" max="5" width="22.85546875" customWidth="1"/>
    <col min="6" max="6" width="7.28515625" customWidth="1"/>
    <col min="7" max="7" width="4.7109375" customWidth="1"/>
    <col min="8" max="8" width="57.28515625" customWidth="1"/>
    <col min="9" max="9" width="24.5703125" customWidth="1"/>
    <col min="10" max="10" width="19.85546875" bestFit="1" customWidth="1"/>
    <col min="11" max="11" width="19.28515625" customWidth="1"/>
    <col min="12" max="12" width="22.5703125" customWidth="1"/>
    <col min="13" max="13" width="24.85546875" customWidth="1"/>
    <col min="14" max="14" width="36.5703125" bestFit="1" customWidth="1"/>
    <col min="15" max="15" width="30.42578125" customWidth="1"/>
    <col min="16" max="16" width="27.5703125" customWidth="1"/>
    <col min="17" max="17" width="36.5703125" bestFit="1" customWidth="1"/>
  </cols>
  <sheetData>
    <row r="1" spans="1:20" x14ac:dyDescent="0.25">
      <c r="A1" s="1"/>
      <c r="B1" s="1"/>
      <c r="C1" s="1"/>
      <c r="D1" s="1"/>
      <c r="E1" s="2"/>
      <c r="F1" s="1"/>
      <c r="G1" s="1"/>
      <c r="H1" s="1"/>
      <c r="I1" s="2"/>
      <c r="J1" s="1"/>
      <c r="K1" s="1"/>
      <c r="L1" s="1"/>
      <c r="M1" s="1"/>
      <c r="N1" s="2"/>
      <c r="O1" s="1"/>
      <c r="P1" s="1"/>
      <c r="Q1" s="2"/>
      <c r="R1" s="1"/>
      <c r="S1" s="1"/>
      <c r="T1" s="1"/>
    </row>
    <row r="2" spans="1:20" x14ac:dyDescent="0.25">
      <c r="A2" s="1"/>
      <c r="B2" s="1"/>
      <c r="C2" s="1"/>
      <c r="D2" s="1"/>
      <c r="E2" s="2"/>
      <c r="F2" s="1"/>
      <c r="G2" s="1"/>
      <c r="H2" s="1"/>
      <c r="I2" s="2"/>
      <c r="J2" s="1"/>
      <c r="K2" s="1"/>
      <c r="L2" s="1"/>
      <c r="M2" s="1"/>
      <c r="N2" s="2"/>
      <c r="O2" s="1"/>
      <c r="P2" s="1"/>
      <c r="Q2" s="2"/>
      <c r="R2" s="1"/>
      <c r="S2" s="1"/>
      <c r="T2" s="1"/>
    </row>
    <row r="3" spans="1:20" ht="17.25" x14ac:dyDescent="0.3">
      <c r="A3" s="1"/>
      <c r="B3" s="1"/>
      <c r="C3" s="1"/>
      <c r="D3" s="1"/>
      <c r="E3" s="2"/>
      <c r="F3" s="1"/>
      <c r="G3" s="1"/>
      <c r="H3" s="26" t="s">
        <v>3</v>
      </c>
      <c r="I3" s="4"/>
      <c r="J3" s="3"/>
      <c r="K3" s="3"/>
      <c r="L3" s="3"/>
      <c r="M3" s="3"/>
      <c r="N3" s="2"/>
      <c r="O3" s="1"/>
      <c r="P3" s="1"/>
      <c r="Q3" s="2"/>
      <c r="R3" s="1"/>
      <c r="S3" s="1"/>
      <c r="T3" s="1"/>
    </row>
    <row r="4" spans="1:20" x14ac:dyDescent="0.25">
      <c r="A4" s="1"/>
      <c r="B4" s="1"/>
      <c r="C4" s="1"/>
      <c r="D4" s="1"/>
      <c r="E4" s="2"/>
      <c r="F4" s="1"/>
      <c r="G4" s="1"/>
      <c r="H4" s="1"/>
      <c r="I4" s="2"/>
      <c r="J4" s="1"/>
      <c r="K4" s="1"/>
      <c r="L4" s="1"/>
      <c r="M4" s="1"/>
      <c r="N4" s="2"/>
      <c r="O4" s="1"/>
      <c r="P4" s="1"/>
      <c r="Q4" s="2"/>
      <c r="R4" s="1"/>
      <c r="S4" s="1"/>
      <c r="T4" s="1"/>
    </row>
    <row r="5" spans="1:20" x14ac:dyDescent="0.25">
      <c r="A5" s="1"/>
      <c r="B5" s="1"/>
      <c r="C5" s="1"/>
      <c r="D5" s="1"/>
      <c r="E5" s="2"/>
      <c r="F5" s="1"/>
      <c r="G5" s="1"/>
      <c r="H5" s="1"/>
      <c r="I5" s="2"/>
      <c r="J5" s="1"/>
      <c r="K5" s="1"/>
      <c r="L5" s="1"/>
      <c r="M5" s="1"/>
      <c r="N5" s="2"/>
      <c r="O5" s="5" t="s">
        <v>4</v>
      </c>
      <c r="P5" s="5" t="s">
        <v>5</v>
      </c>
      <c r="Q5" s="2" t="s">
        <v>6</v>
      </c>
      <c r="R5" s="1"/>
      <c r="S5" s="1"/>
      <c r="T5" s="1"/>
    </row>
    <row r="6" spans="1:20" ht="15" customHeight="1" x14ac:dyDescent="0.25">
      <c r="A6" s="1"/>
      <c r="B6" s="1"/>
      <c r="C6" s="1"/>
      <c r="D6" s="1"/>
      <c r="E6" s="2"/>
      <c r="F6" s="1"/>
      <c r="G6" s="1"/>
      <c r="H6" s="1"/>
      <c r="I6" s="2"/>
      <c r="J6" s="1"/>
      <c r="K6" s="1"/>
      <c r="L6" s="1"/>
      <c r="M6" s="1"/>
      <c r="N6" s="2"/>
      <c r="O6" s="5" t="s">
        <v>0</v>
      </c>
      <c r="P6" s="5" t="s">
        <v>5</v>
      </c>
      <c r="Q6" s="2"/>
      <c r="R6" s="1"/>
      <c r="S6" s="1"/>
      <c r="T6" s="1"/>
    </row>
    <row r="7" spans="1:20" ht="15.75" customHeight="1" x14ac:dyDescent="0.25">
      <c r="A7" s="1"/>
      <c r="B7" s="1"/>
      <c r="C7" s="1"/>
      <c r="D7" s="1"/>
      <c r="E7" s="2"/>
      <c r="F7" s="1"/>
      <c r="G7" s="1"/>
      <c r="H7" s="1"/>
      <c r="I7" s="2"/>
      <c r="J7" s="1"/>
      <c r="K7" s="1"/>
      <c r="L7" s="1"/>
      <c r="M7" s="1"/>
      <c r="N7" s="2"/>
      <c r="O7" s="1"/>
      <c r="P7" s="1"/>
      <c r="Q7" s="2"/>
      <c r="R7" s="1"/>
      <c r="S7" s="1"/>
      <c r="T7" s="1"/>
    </row>
    <row r="8" spans="1:20" ht="32.25" customHeight="1" x14ac:dyDescent="0.35">
      <c r="A8" s="29" t="s">
        <v>7</v>
      </c>
      <c r="B8" s="29"/>
      <c r="C8" s="30" t="s">
        <v>8</v>
      </c>
      <c r="D8" s="30"/>
      <c r="E8" s="30"/>
      <c r="F8" s="30"/>
      <c r="G8" s="1"/>
      <c r="H8" s="6" t="s">
        <v>9</v>
      </c>
      <c r="I8" s="31" t="s">
        <v>10</v>
      </c>
      <c r="J8" s="31"/>
      <c r="K8" s="1"/>
      <c r="L8" s="1"/>
      <c r="M8" s="1"/>
      <c r="N8" s="2"/>
      <c r="O8" s="1"/>
      <c r="P8" s="1"/>
      <c r="Q8" s="2"/>
      <c r="R8" s="1"/>
      <c r="S8" s="1"/>
      <c r="T8" s="1"/>
    </row>
    <row r="9" spans="1:20" ht="23.25" x14ac:dyDescent="0.35">
      <c r="A9" s="1"/>
      <c r="B9" s="1"/>
      <c r="C9" s="1"/>
      <c r="D9" s="1"/>
      <c r="E9" s="2"/>
      <c r="F9" s="1"/>
      <c r="G9" s="1"/>
      <c r="H9" s="1"/>
      <c r="I9" s="2"/>
      <c r="J9" s="1"/>
      <c r="K9" s="1"/>
      <c r="L9" s="1"/>
      <c r="M9" s="1"/>
      <c r="N9" s="2"/>
      <c r="O9" s="32" t="s">
        <v>11</v>
      </c>
      <c r="P9" s="32"/>
      <c r="Q9" s="25">
        <v>9.8000000000000007</v>
      </c>
      <c r="R9" s="1"/>
      <c r="S9" s="1"/>
      <c r="T9" s="1"/>
    </row>
    <row r="10" spans="1:20" ht="23.25" x14ac:dyDescent="0.35">
      <c r="A10" s="5" t="s">
        <v>12</v>
      </c>
      <c r="B10" s="1"/>
      <c r="C10" s="33" t="s">
        <v>13</v>
      </c>
      <c r="D10" s="33"/>
      <c r="E10" s="33"/>
      <c r="F10" s="33"/>
      <c r="G10" s="33"/>
      <c r="H10" s="1"/>
      <c r="I10" s="2"/>
      <c r="J10" s="1"/>
      <c r="K10" s="1"/>
      <c r="L10" s="1"/>
      <c r="M10" s="1"/>
      <c r="N10" s="2"/>
      <c r="O10" s="1"/>
      <c r="P10" s="1"/>
      <c r="Q10" s="2"/>
      <c r="R10" s="1"/>
      <c r="S10" s="1"/>
      <c r="T10" s="1"/>
    </row>
    <row r="11" spans="1:20" x14ac:dyDescent="0.25">
      <c r="A11" s="1"/>
      <c r="B11" s="1"/>
      <c r="C11" s="1"/>
      <c r="D11" s="1"/>
      <c r="E11" s="2"/>
      <c r="F11" s="1"/>
      <c r="G11" s="1"/>
      <c r="H11" s="1"/>
      <c r="I11" s="2"/>
      <c r="J11" s="1"/>
      <c r="K11" s="1"/>
      <c r="L11" s="1"/>
      <c r="M11" s="1"/>
      <c r="N11" s="2"/>
      <c r="O11" s="1"/>
      <c r="P11" s="1"/>
      <c r="Q11" s="2"/>
      <c r="R11" s="1"/>
      <c r="S11" s="1"/>
      <c r="T11" s="1"/>
    </row>
    <row r="12" spans="1:20" ht="31.5" x14ac:dyDescent="0.35">
      <c r="A12" s="29" t="s">
        <v>14</v>
      </c>
      <c r="B12" s="29"/>
      <c r="C12" s="16">
        <v>22.49</v>
      </c>
      <c r="D12" s="1"/>
      <c r="E12" s="2"/>
      <c r="F12" s="1"/>
      <c r="G12" s="1"/>
      <c r="H12" s="1"/>
      <c r="I12" s="2" t="s">
        <v>15</v>
      </c>
      <c r="J12" s="16">
        <v>35042</v>
      </c>
      <c r="K12" s="1" t="s">
        <v>16</v>
      </c>
      <c r="L12" s="1"/>
      <c r="M12" s="8" t="s">
        <v>17</v>
      </c>
      <c r="N12" s="7" t="s">
        <v>18</v>
      </c>
      <c r="O12" s="16">
        <v>103.26</v>
      </c>
      <c r="P12" s="1" t="s">
        <v>19</v>
      </c>
      <c r="Q12" s="2"/>
      <c r="R12" s="1"/>
      <c r="S12" s="1"/>
      <c r="T12" s="1"/>
    </row>
    <row r="13" spans="1:20" x14ac:dyDescent="0.25">
      <c r="A13" s="34" t="s">
        <v>20</v>
      </c>
      <c r="B13" s="34" t="s">
        <v>21</v>
      </c>
      <c r="C13" s="34"/>
      <c r="D13" s="34"/>
      <c r="E13" s="34"/>
      <c r="F13" s="34"/>
      <c r="G13" s="34"/>
      <c r="H13" s="35" t="s">
        <v>22</v>
      </c>
      <c r="I13" s="36" t="s">
        <v>23</v>
      </c>
      <c r="J13" s="38" t="s">
        <v>24</v>
      </c>
      <c r="K13" s="38" t="s">
        <v>25</v>
      </c>
      <c r="L13" s="41" t="s">
        <v>26</v>
      </c>
      <c r="M13" s="43" t="s">
        <v>27</v>
      </c>
      <c r="N13" s="34" t="s">
        <v>28</v>
      </c>
      <c r="O13" s="34" t="s">
        <v>29</v>
      </c>
      <c r="P13" s="48" t="s">
        <v>30</v>
      </c>
      <c r="Q13" s="38" t="s">
        <v>31</v>
      </c>
      <c r="R13" s="46" t="s">
        <v>32</v>
      </c>
      <c r="S13" s="46" t="s">
        <v>33</v>
      </c>
      <c r="T13" s="46" t="s">
        <v>34</v>
      </c>
    </row>
    <row r="14" spans="1:20" ht="39" customHeight="1" x14ac:dyDescent="0.25">
      <c r="A14" s="34"/>
      <c r="B14" s="34"/>
      <c r="C14" s="34"/>
      <c r="D14" s="34"/>
      <c r="E14" s="34"/>
      <c r="F14" s="34"/>
      <c r="G14" s="34"/>
      <c r="H14" s="35"/>
      <c r="I14" s="37"/>
      <c r="J14" s="39"/>
      <c r="K14" s="45"/>
      <c r="L14" s="42"/>
      <c r="M14" s="44"/>
      <c r="N14" s="34"/>
      <c r="O14" s="34"/>
      <c r="P14" s="49"/>
      <c r="Q14" s="39"/>
      <c r="R14" s="46"/>
      <c r="S14" s="46"/>
      <c r="T14" s="46"/>
    </row>
    <row r="15" spans="1:20" ht="56.25" customHeight="1" x14ac:dyDescent="0.25">
      <c r="A15" s="17">
        <v>45783</v>
      </c>
      <c r="B15" s="47" t="s">
        <v>35</v>
      </c>
      <c r="C15" s="47"/>
      <c r="D15" s="47"/>
      <c r="E15" s="47"/>
      <c r="F15" s="47"/>
      <c r="G15" s="47"/>
      <c r="H15" s="27" t="s">
        <v>36</v>
      </c>
      <c r="I15" s="18">
        <v>27</v>
      </c>
      <c r="J15" s="19">
        <v>440</v>
      </c>
      <c r="K15" s="22">
        <f>I15+J15</f>
        <v>467</v>
      </c>
      <c r="L15" s="18">
        <v>1.2</v>
      </c>
      <c r="M15" s="18">
        <v>0.85</v>
      </c>
      <c r="N15" s="20">
        <f>(I15/100*L15+J15/100*M15)*Q9</f>
        <v>39.827200000000005</v>
      </c>
      <c r="O15" s="23">
        <v>45806</v>
      </c>
      <c r="P15" s="18" t="s">
        <v>1</v>
      </c>
      <c r="Q15" s="24" t="s">
        <v>2</v>
      </c>
      <c r="R15" s="9"/>
      <c r="S15" s="9"/>
      <c r="T15" s="9"/>
    </row>
    <row r="16" spans="1:20" ht="147.75" customHeight="1" x14ac:dyDescent="0.25">
      <c r="A16" s="17">
        <v>45784</v>
      </c>
      <c r="B16" s="40" t="s">
        <v>37</v>
      </c>
      <c r="C16" s="40"/>
      <c r="D16" s="40"/>
      <c r="E16" s="40"/>
      <c r="F16" s="40"/>
      <c r="G16" s="40"/>
      <c r="H16" s="27" t="s">
        <v>38</v>
      </c>
      <c r="I16" s="21">
        <v>82</v>
      </c>
      <c r="J16" s="19">
        <v>440</v>
      </c>
      <c r="K16" s="22">
        <f t="shared" ref="K16:K18" si="0">I16+J16</f>
        <v>522</v>
      </c>
      <c r="L16" s="18">
        <v>1.2</v>
      </c>
      <c r="M16" s="18">
        <v>0.85</v>
      </c>
      <c r="N16" s="20">
        <f>(I16/100*L16+J16/100*M16)*Q9</f>
        <v>46.295200000000008</v>
      </c>
      <c r="O16" s="23">
        <v>45806</v>
      </c>
      <c r="P16" s="18" t="s">
        <v>1</v>
      </c>
      <c r="Q16" s="24" t="s">
        <v>2</v>
      </c>
      <c r="R16" s="9"/>
      <c r="S16" s="9"/>
      <c r="T16" s="9"/>
    </row>
    <row r="17" spans="1:20" ht="70.5" customHeight="1" x14ac:dyDescent="0.25">
      <c r="A17" s="17">
        <v>45785</v>
      </c>
      <c r="B17" s="40" t="s">
        <v>39</v>
      </c>
      <c r="C17" s="40"/>
      <c r="D17" s="40"/>
      <c r="E17" s="40"/>
      <c r="F17" s="40"/>
      <c r="G17" s="40"/>
      <c r="H17" s="27" t="s">
        <v>40</v>
      </c>
      <c r="I17" s="21">
        <v>22</v>
      </c>
      <c r="J17" s="19">
        <v>0</v>
      </c>
      <c r="K17" s="22">
        <f t="shared" si="0"/>
        <v>22</v>
      </c>
      <c r="L17" s="18">
        <v>1.25</v>
      </c>
      <c r="M17" s="18">
        <v>0.9</v>
      </c>
      <c r="N17" s="20">
        <f>(I17/100*L17+J17/100*M17)*Q9</f>
        <v>2.6950000000000003</v>
      </c>
      <c r="O17" s="23">
        <v>45806</v>
      </c>
      <c r="P17" s="18" t="s">
        <v>1</v>
      </c>
      <c r="Q17" s="24" t="s">
        <v>2</v>
      </c>
      <c r="R17" s="9"/>
      <c r="S17" s="9"/>
      <c r="T17" s="9"/>
    </row>
    <row r="18" spans="1:20" ht="108" customHeight="1" x14ac:dyDescent="0.25">
      <c r="A18" s="17">
        <v>45797</v>
      </c>
      <c r="B18" s="47" t="s">
        <v>41</v>
      </c>
      <c r="C18" s="47"/>
      <c r="D18" s="47"/>
      <c r="E18" s="47"/>
      <c r="F18" s="47"/>
      <c r="G18" s="47"/>
      <c r="H18" s="27" t="s">
        <v>42</v>
      </c>
      <c r="I18" s="21">
        <v>50</v>
      </c>
      <c r="J18" s="19">
        <v>239</v>
      </c>
      <c r="K18" s="22">
        <f t="shared" si="0"/>
        <v>289</v>
      </c>
      <c r="L18" s="18">
        <v>1.2</v>
      </c>
      <c r="M18" s="18">
        <v>0.85</v>
      </c>
      <c r="N18" s="20">
        <f>(I18/100*L18+J18/100*M18)*Q9</f>
        <v>25.788700000000002</v>
      </c>
      <c r="O18" s="23">
        <v>3210</v>
      </c>
      <c r="P18" s="18" t="s">
        <v>1</v>
      </c>
      <c r="Q18" s="24" t="s">
        <v>43</v>
      </c>
      <c r="R18" s="9"/>
      <c r="S18" s="9"/>
      <c r="T18" s="9"/>
    </row>
    <row r="19" spans="1:20" ht="18.75" x14ac:dyDescent="0.3">
      <c r="A19" s="14"/>
      <c r="B19" s="14"/>
      <c r="C19" s="14"/>
      <c r="D19" s="14"/>
      <c r="E19" s="15"/>
      <c r="F19" s="14"/>
      <c r="G19" s="14"/>
      <c r="H19" s="14"/>
      <c r="I19" s="15"/>
      <c r="J19" s="14"/>
      <c r="K19" s="51">
        <f>SUM(K14:K18)</f>
        <v>1300</v>
      </c>
      <c r="L19" s="14"/>
      <c r="M19" s="53" t="s">
        <v>17</v>
      </c>
      <c r="N19" s="54">
        <f>SUM(N12:N18)+0.01</f>
        <v>114.61610000000003</v>
      </c>
      <c r="O19" s="14"/>
      <c r="P19" s="14"/>
      <c r="Q19" s="15"/>
      <c r="R19" s="1"/>
      <c r="S19" s="1"/>
      <c r="T19" s="1"/>
    </row>
    <row r="20" spans="1:20" ht="30.75" customHeight="1" x14ac:dyDescent="0.3">
      <c r="A20" s="14"/>
      <c r="B20" s="14"/>
      <c r="C20" s="14"/>
      <c r="D20" s="14"/>
      <c r="E20" s="56" t="s">
        <v>44</v>
      </c>
      <c r="F20" s="56"/>
      <c r="G20" s="56"/>
      <c r="H20" s="14"/>
      <c r="I20" s="15"/>
      <c r="J20" s="14"/>
      <c r="K20" s="52"/>
      <c r="L20" s="14"/>
      <c r="M20" s="53"/>
      <c r="N20" s="55"/>
      <c r="O20" s="14"/>
      <c r="P20" s="14"/>
      <c r="Q20" s="15"/>
      <c r="R20" s="1"/>
      <c r="S20" s="1"/>
      <c r="T20" s="1"/>
    </row>
    <row r="21" spans="1:20" x14ac:dyDescent="0.25">
      <c r="A21" s="1"/>
      <c r="B21" s="1"/>
      <c r="C21" s="1"/>
      <c r="D21" s="1"/>
      <c r="E21" s="2"/>
      <c r="F21" s="1"/>
      <c r="G21" s="1"/>
      <c r="H21" s="1"/>
      <c r="I21" s="2"/>
      <c r="J21" s="1"/>
      <c r="K21" s="1"/>
      <c r="L21" s="1"/>
      <c r="M21" s="1"/>
      <c r="N21" s="2"/>
      <c r="O21" s="1"/>
      <c r="P21" s="1"/>
      <c r="Q21" s="2"/>
      <c r="R21" s="1"/>
      <c r="S21" s="1"/>
      <c r="T21" s="1"/>
    </row>
    <row r="22" spans="1:20" ht="27" customHeight="1" x14ac:dyDescent="0.35">
      <c r="A22" s="29" t="s">
        <v>45</v>
      </c>
      <c r="B22" s="29"/>
      <c r="C22" s="57">
        <f>(C12+O12)-N19</f>
        <v>11.133899999999969</v>
      </c>
      <c r="D22" s="58"/>
      <c r="E22" s="59" t="s">
        <v>46</v>
      </c>
      <c r="F22" s="59"/>
      <c r="G22" s="59"/>
      <c r="H22" s="59"/>
      <c r="I22" s="59"/>
      <c r="J22" s="59"/>
      <c r="K22" s="28">
        <f>J12+K19</f>
        <v>36342</v>
      </c>
      <c r="L22" s="1" t="s">
        <v>16</v>
      </c>
      <c r="M22" s="1" t="s">
        <v>17</v>
      </c>
      <c r="N22" s="2"/>
      <c r="O22" s="1"/>
      <c r="P22" s="1"/>
      <c r="Q22" s="2"/>
      <c r="R22" s="1"/>
      <c r="S22" s="1"/>
      <c r="T22" s="1"/>
    </row>
    <row r="23" spans="1:20" x14ac:dyDescent="0.25">
      <c r="A23" s="1"/>
      <c r="B23" s="1"/>
      <c r="C23" s="1"/>
      <c r="D23" s="1"/>
      <c r="E23" s="2"/>
      <c r="F23" s="1"/>
      <c r="G23" s="1"/>
      <c r="H23" s="1"/>
      <c r="I23" s="2"/>
      <c r="J23" s="1"/>
      <c r="K23" s="1"/>
      <c r="L23" s="1"/>
      <c r="M23" s="1"/>
      <c r="N23" s="2"/>
      <c r="O23" s="1"/>
      <c r="P23" s="1"/>
      <c r="Q23" s="2"/>
      <c r="R23" s="1"/>
      <c r="S23" s="1"/>
      <c r="T23" s="1"/>
    </row>
    <row r="24" spans="1:20" x14ac:dyDescent="0.25">
      <c r="A24" s="1"/>
      <c r="B24" s="1"/>
      <c r="C24" s="1"/>
      <c r="D24" s="1"/>
      <c r="E24" s="2"/>
      <c r="F24" s="1"/>
      <c r="G24" s="1"/>
      <c r="H24" s="1"/>
      <c r="I24" s="2"/>
      <c r="J24" s="1"/>
      <c r="K24" s="1"/>
      <c r="L24" s="1"/>
      <c r="M24" s="1"/>
      <c r="N24" s="2"/>
      <c r="O24" s="1"/>
      <c r="P24" s="1"/>
      <c r="Q24" s="2"/>
      <c r="R24" s="1"/>
      <c r="S24" s="1"/>
      <c r="T24" s="1"/>
    </row>
    <row r="25" spans="1:20" ht="30.75" customHeight="1" x14ac:dyDescent="0.25">
      <c r="A25" s="1" t="s">
        <v>47</v>
      </c>
      <c r="B25" s="60" t="s">
        <v>48</v>
      </c>
      <c r="C25" s="60"/>
      <c r="D25" s="60"/>
      <c r="E25" s="60"/>
      <c r="F25" s="60"/>
      <c r="G25" s="1" t="s">
        <v>49</v>
      </c>
      <c r="H25" s="1"/>
      <c r="I25" s="2"/>
      <c r="J25" s="1" t="s">
        <v>50</v>
      </c>
      <c r="K25" s="1"/>
      <c r="L25" s="1"/>
      <c r="M25" s="10" t="s">
        <v>51</v>
      </c>
      <c r="N25" s="61" t="s">
        <v>52</v>
      </c>
      <c r="O25" s="61"/>
      <c r="P25" s="11"/>
      <c r="Q25" s="12"/>
      <c r="R25" s="1"/>
      <c r="S25" s="1"/>
      <c r="T25" s="1"/>
    </row>
    <row r="26" spans="1:20" x14ac:dyDescent="0.25">
      <c r="A26" s="1"/>
      <c r="B26" s="1"/>
      <c r="C26" s="1"/>
      <c r="D26" s="1"/>
      <c r="E26" s="2"/>
      <c r="F26" s="1"/>
      <c r="G26" s="1"/>
      <c r="H26" s="1"/>
      <c r="I26" s="2"/>
      <c r="J26" s="1"/>
      <c r="K26" s="1"/>
      <c r="L26" s="1"/>
      <c r="M26" s="13" t="s">
        <v>53</v>
      </c>
      <c r="N26" s="50" t="s">
        <v>54</v>
      </c>
      <c r="O26" s="50"/>
      <c r="P26" s="1"/>
      <c r="Q26" s="2"/>
      <c r="R26" s="1"/>
      <c r="S26" s="1"/>
      <c r="T26" s="1"/>
    </row>
  </sheetData>
  <sheetProtection algorithmName="SHA-512" hashValue="M8SKy14W5EC/TBWFFg/7wdSt5KGAb0xSYitTzM9xkbsDUh7qosbSPi7BcpYrF7cU+vA/90QEC6sZzpCXFkq06Q==" saltValue="9gAdk8nH/o/q1/IoeepoOw==" spinCount="100000" sheet="1" objects="1" scenarios="1"/>
  <mergeCells count="35">
    <mergeCell ref="N26:O26"/>
    <mergeCell ref="B18:G18"/>
    <mergeCell ref="K19:K20"/>
    <mergeCell ref="M19:M20"/>
    <mergeCell ref="N19:N20"/>
    <mergeCell ref="E20:G20"/>
    <mergeCell ref="A22:B22"/>
    <mergeCell ref="C22:D22"/>
    <mergeCell ref="E22:J22"/>
    <mergeCell ref="B25:F25"/>
    <mergeCell ref="N25:O25"/>
    <mergeCell ref="R13:R14"/>
    <mergeCell ref="S13:S14"/>
    <mergeCell ref="T13:T14"/>
    <mergeCell ref="B15:G15"/>
    <mergeCell ref="B16:G16"/>
    <mergeCell ref="P13:P14"/>
    <mergeCell ref="Q13:Q14"/>
    <mergeCell ref="B17:G17"/>
    <mergeCell ref="L13:L14"/>
    <mergeCell ref="M13:M14"/>
    <mergeCell ref="N13:N14"/>
    <mergeCell ref="O13:O14"/>
    <mergeCell ref="K13:K14"/>
    <mergeCell ref="A13:A14"/>
    <mergeCell ref="B13:G14"/>
    <mergeCell ref="H13:H14"/>
    <mergeCell ref="I13:I14"/>
    <mergeCell ref="J13:J14"/>
    <mergeCell ref="A12:B12"/>
    <mergeCell ref="A8:B8"/>
    <mergeCell ref="C8:F8"/>
    <mergeCell ref="I8:J8"/>
    <mergeCell ref="O9:P9"/>
    <mergeCell ref="C10:G10"/>
  </mergeCells>
  <pageMargins left="0.7" right="0.7" top="0.75" bottom="0.75" header="0.3" footer="0.3"/>
  <pageSetup paperSize="9" scale="45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May 2025 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2025-06-03T09:22:46Z</dcterms:modified>
  <cp:category/>
  <cp:contentStatus/>
</cp:coreProperties>
</file>